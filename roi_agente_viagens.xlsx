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Dados de voo" sheetId="3" state="visible" r:id="rId5"/>
    <sheet name="Margem por usuário" sheetId="4" state="visible" r:id="rId6"/>
    <sheet name="Piloto 60 dias" sheetId="5" state="visible" r:id="rId7"/>
    <sheet name="ROI 12 mes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<sst xmlns="http://schemas.openxmlformats.org/spreadsheetml/2006/main" count="213" uniqueCount="174">
  <si>
    <t xml:space="preserve">Agente Inteligente de Viagens – Modelo de custo, margem e ROI</t>
  </si>
  <si>
    <t xml:space="preserve">Para que serve</t>
  </si>
  <si>
    <t xml:space="preserve">Estimar custo variável por usuário, margem por opção de preço (passe ou assinatura), custo do piloto de 60 dias e ROI em 12 meses.</t>
  </si>
  <si>
    <t xml:space="preserve">Como usar</t>
  </si>
  <si>
    <t xml:space="preserve">1. Edite apenas as células da aba Premissas (texto azul). Células com fundo amarelo são chutes ou escolhas suas: substitua pelos valores reais.</t>
  </si>
  <si>
    <t xml:space="preserve">2. Escolha o cenário de custo (Mínimo / Base / Máximo) em Premissas!B31. Ele alimenta a aba ROI 12 meses.</t>
  </si>
  <si>
    <t xml:space="preserve">3. A flexibilidade de datas (Premissas, linha 21) é a premissa que mais mexe no custo de dados de voo: cada combinação de datas é uma busca.</t>
  </si>
  <si>
    <t xml:space="preserve">Abas</t>
  </si>
  <si>
    <t xml:space="preserve">Premissas – todas as entradas do modelo.</t>
  </si>
  <si>
    <t xml:space="preserve">Dados de voo – nº de buscas e custo por usuário; sensibilidade por combinações de datas e por número de usuários.</t>
  </si>
  <si>
    <t xml:space="preserve">Margem por usuário – custo variável por componente e margem por opção de preço, comparada à meta de 30% do plano.</t>
  </si>
  <si>
    <t xml:space="preserve">Piloto 60 dias – custo de caixa estimado do piloto (não inclui horas da equipe).</t>
  </si>
  <si>
    <t xml:space="preserve">ROI 12 meses – lucro mensal, ponto de equilíbrio e ROI por opção de preço e volume.</t>
  </si>
  <si>
    <t xml:space="preserve">Convenção de cores</t>
  </si>
  <si>
    <t xml:space="preserve">Azul = valor digitado (entrada) · Preto = fórmula · Verde = vínculo com outra aba · Fundo amarelo = chute ou campo a preencher.</t>
  </si>
  <si>
    <t xml:space="preserve">Limites e simplificações (leia antes de usar o resultado)</t>
  </si>
  <si>
    <t xml:space="preserve">• Os preços de passe e assinatura são hipóteses do plano de execução (R$ 29,90–49,90 e R$ 19,90–29,90/mês), a validar no piloto.</t>
  </si>
  <si>
    <t xml:space="preserve">• Custos de LLM, e-mail, pagamento, hospedagem e câmbio são estimativas aproximadas, não cotações. Confirme nos provedores.</t>
  </si>
  <si>
    <t xml:space="preserve">• O preço de dados de voo (US$ 2 por mil buscas) é preço de lista de um provedor pay-per-use consultado em set/2026. A cobertura de rotas e companhias brasileiras ainda precisa ser validada. A Amadeus Self-Service foi desativada em 17/07/2026.</t>
  </si>
  <si>
    <t xml:space="preserve">• Volume constante nos 12 meses, sem curva de crescimento nem churn. Um passe equivale a um mês de radar ativo por usuário.</t>
  </si>
  <si>
    <t xml:space="preserve">• Comissão de afiliados = 0 (conservador). Cota gratuita de buscas = 0 (conservador).</t>
  </si>
  <si>
    <t xml:space="preserve">• O CAC é só um placeholder; o plano não traz hipótese. O ROI não inclui CAC, que aparece na aba Margem por usuário como passes necessários para pagá-lo.</t>
  </si>
  <si>
    <t xml:space="preserve">• Horas da equipe só entram no ROI se você preencher Premissas!B28.</t>
  </si>
  <si>
    <t xml:space="preserve">Premissas</t>
  </si>
  <si>
    <t xml:space="preserve">Edite apenas o texto azul. Fundo amarelo = chute ou campo a preencher.</t>
  </si>
  <si>
    <t xml:space="preserve">PREÇOS (hipóteses do plano, a validar no piloto)</t>
  </si>
  <si>
    <t xml:space="preserve">Passe por viagem – preço baixo</t>
  </si>
  <si>
    <t xml:space="preserve">R$</t>
  </si>
  <si>
    <t xml:space="preserve">Faixa do plano: R$ 29,90–49,90</t>
  </si>
  <si>
    <t xml:space="preserve">Passe por viagem – preço médio</t>
  </si>
  <si>
    <t xml:space="preserve">Ponto intermediário da faixa</t>
  </si>
  <si>
    <t xml:space="preserve">Passe por viagem – preço alto</t>
  </si>
  <si>
    <t xml:space="preserve">Assinatura Pro (por mês)</t>
  </si>
  <si>
    <t xml:space="preserve">R$/mês</t>
  </si>
  <si>
    <t xml:space="preserve">Faixa do plano: R$ 19,90–29,90/mês</t>
  </si>
  <si>
    <t xml:space="preserve">Comissão média de afiliados por usuário</t>
  </si>
  <si>
    <t xml:space="preserve">Conservador: ignora afiliados (complemento no plano)</t>
  </si>
  <si>
    <t xml:space="preserve">CAC por usuário (placeholder)</t>
  </si>
  <si>
    <t xml:space="preserve">Chute meu: o plano não traz hipótese de CAC. Substitua pelo valor real.</t>
  </si>
  <si>
    <t xml:space="preserve">DADOS DE VOO</t>
  </si>
  <si>
    <t xml:space="preserve">Câmbio</t>
  </si>
  <si>
    <t xml:space="preserve">R$/US$</t>
  </si>
  <si>
    <t xml:space="preserve">Aproximado, atualize</t>
  </si>
  <si>
    <t xml:space="preserve">Preço por 1.000 buscas</t>
  </si>
  <si>
    <t xml:space="preserve">US$</t>
  </si>
  <si>
    <t xml:space="preserve">Preço de lista de um provedor pay-per-use (Ignav, set/2026): US$ 2 por mil buscas após 1.000 gratuitas. Confirmar cobertura de rotas brasileiras e preço atual.</t>
  </si>
  <si>
    <t xml:space="preserve">Buscas gratuitas (abatidas do total)</t>
  </si>
  <si>
    <t xml:space="preserve">buscas</t>
  </si>
  <si>
    <t xml:space="preserve">Provedor cita 1.000 gratuitas; não está claro se é mensal ou único. Conservador: 0. Usada só na aba Piloto.</t>
  </si>
  <si>
    <t xml:space="preserve">Rotas por usuário</t>
  </si>
  <si>
    <t xml:space="preserve">rotas</t>
  </si>
  <si>
    <t xml:space="preserve">Exemplo usado na estimativa anterior (30 usuários x 5 rotas)</t>
  </si>
  <si>
    <t xml:space="preserve">Dias de consulta por mês</t>
  </si>
  <si>
    <t xml:space="preserve">dias</t>
  </si>
  <si>
    <t xml:space="preserve">Consulta diária, como no plano</t>
  </si>
  <si>
    <t xml:space="preserve">Redução de buscas por cache e frequência adaptativa</t>
  </si>
  <si>
    <t xml:space="preserve">%</t>
  </si>
  <si>
    <t xml:space="preserve">Conservador: 0%. Alavanca de custo citada no plano.</t>
  </si>
  <si>
    <t xml:space="preserve">CUSTO VARIÁVEL POR USUÁRIO/MÊS (cenários)</t>
  </si>
  <si>
    <t xml:space="preserve">Mínimo</t>
  </si>
  <si>
    <t xml:space="preserve">Base</t>
  </si>
  <si>
    <t xml:space="preserve">Máximo</t>
  </si>
  <si>
    <t xml:space="preserve">Combinações de datas por rota (por dia)</t>
  </si>
  <si>
    <t xml:space="preserve">combinações</t>
  </si>
  <si>
    <t xml:space="preserve">Flexibilidade de datas: cada combinação de ida e volta é uma busca. Premissa que mais pesa.</t>
  </si>
  <si>
    <t xml:space="preserve">LLM (criar radar, esclarecer, explicar alertas)</t>
  </si>
  <si>
    <t xml:space="preserve">R$/usuário/mês</t>
  </si>
  <si>
    <t xml:space="preserve">Estimativa: faixa R$ 1–3</t>
  </si>
  <si>
    <t xml:space="preserve">E-mail transacional</t>
  </si>
  <si>
    <t xml:space="preserve">Estimativa: menos de R$ 0,50</t>
  </si>
  <si>
    <t xml:space="preserve">Pagamento (cartão ou Pix)</t>
  </si>
  <si>
    <t xml:space="preserve">Estimativa: faixa R$ 1–2</t>
  </si>
  <si>
    <t xml:space="preserve">O custo de dados de voo por usuário é calculado na aba Dados de voo.</t>
  </si>
  <si>
    <t xml:space="preserve">CUSTOS FIXOS, INVESTIMENTO E METAS</t>
  </si>
  <si>
    <t xml:space="preserve">Custo fixo mensal</t>
  </si>
  <si>
    <t xml:space="preserve">Base sugerida para MVP (hospedagem, banco, automação, ferramentas)</t>
  </si>
  <si>
    <t xml:space="preserve">Outros investimentos iniciais (placeholder)</t>
  </si>
  <si>
    <t xml:space="preserve">Chute meu (horas da equipe, marketing, jurídico/LGPD). Substitua pelo valor real.</t>
  </si>
  <si>
    <t xml:space="preserve">Meses de operação para o ROI</t>
  </si>
  <si>
    <t xml:space="preserve">meses</t>
  </si>
  <si>
    <t xml:space="preserve">Meta de custo variável / receita</t>
  </si>
  <si>
    <t xml:space="preserve">Hipótese do plano: abaixo de 30%</t>
  </si>
  <si>
    <t xml:space="preserve">Cenário de custo selecionado</t>
  </si>
  <si>
    <t xml:space="preserve">Escolha Mínimo, Base ou Máximo. Alimenta a aba ROI 12 meses.</t>
  </si>
  <si>
    <t xml:space="preserve">VOLUME MENSAL (passes vendidos ou assinantes ativos)</t>
  </si>
  <si>
    <t xml:space="preserve">Conservador</t>
  </si>
  <si>
    <t xml:space="preserve">Otimista</t>
  </si>
  <si>
    <t xml:space="preserve">Volume por mês</t>
  </si>
  <si>
    <t xml:space="preserve">usuários/mês</t>
  </si>
  <si>
    <t xml:space="preserve">Exemplo ilustrativo, substitua pela sua meta</t>
  </si>
  <si>
    <t xml:space="preserve">PILOTO DE 60 DIAS (cenários)</t>
  </si>
  <si>
    <t xml:space="preserve">Usuários no piloto</t>
  </si>
  <si>
    <t xml:space="preserve">usuários</t>
  </si>
  <si>
    <t xml:space="preserve">Plano: 15 a 30 participantes</t>
  </si>
  <si>
    <t xml:space="preserve">Duração do piloto</t>
  </si>
  <si>
    <t xml:space="preserve">Hospedagem, banco e automação (total)</t>
  </si>
  <si>
    <t xml:space="preserve">Estimativa: planos gratuitos até R$ 140–300/mês</t>
  </si>
  <si>
    <t xml:space="preserve">E-mail transacional e métricas (total)</t>
  </si>
  <si>
    <t xml:space="preserve">Faixas gratuitas bastam, segundo a estimativa</t>
  </si>
  <si>
    <t xml:space="preserve">API de LLM (desenvolvimento e uso do piloto)</t>
  </si>
  <si>
    <t xml:space="preserve">Estimativa: R$ 100–300</t>
  </si>
  <si>
    <t xml:space="preserve">Dados de voo – buscas e custo</t>
  </si>
  <si>
    <t xml:space="preserve">Custo por usuário ignora a cota gratuita (conservador). Todas as entradas vêm da aba Premissas.</t>
  </si>
  <si>
    <t xml:space="preserve">Item</t>
  </si>
  <si>
    <t xml:space="preserve">Buscas por usuário/mês</t>
  </si>
  <si>
    <t xml:space="preserve">Custo por usuário (US$)</t>
  </si>
  <si>
    <t xml:space="preserve">Custo por usuário (R$)</t>
  </si>
  <si>
    <t xml:space="preserve">Sensibilidade: custo por usuário/mês conforme a flexibilidade de datas</t>
  </si>
  <si>
    <t xml:space="preserve">Combinações de datas</t>
  </si>
  <si>
    <t xml:space="preserve">Buscas/usuário/mês</t>
  </si>
  <si>
    <t xml:space="preserve">Custo (R$/usuário/mês)</t>
  </si>
  <si>
    <t xml:space="preserve">Sensibilidade: custo mensal total de dados de voo (R$) por nº de usuários e combinações de datas</t>
  </si>
  <si>
    <t xml:space="preserve">Combinações \ Usuários</t>
  </si>
  <si>
    <t xml:space="preserve">Margem de contribuição por usuário</t>
  </si>
  <si>
    <t xml:space="preserve">Margem = preço + comissão − custo variável (LLM + dados de voo + e-mail + pagamento).</t>
  </si>
  <si>
    <t xml:space="preserve">Custo variável (R$/usuário/mês)</t>
  </si>
  <si>
    <t xml:space="preserve">LLM</t>
  </si>
  <si>
    <t xml:space="preserve">Dados de voo</t>
  </si>
  <si>
    <t xml:space="preserve">E-mail</t>
  </si>
  <si>
    <t xml:space="preserve">Pagamento</t>
  </si>
  <si>
    <t xml:space="preserve">Total</t>
  </si>
  <si>
    <t xml:space="preserve">Opção</t>
  </si>
  <si>
    <t xml:space="preserve">Preço (R$)</t>
  </si>
  <si>
    <t xml:space="preserve">Custo var. Mínimo</t>
  </si>
  <si>
    <t xml:space="preserve">Custo var. Base</t>
  </si>
  <si>
    <t xml:space="preserve">Custo var. Máximo</t>
  </si>
  <si>
    <t xml:space="preserve">Margem Mínimo</t>
  </si>
  <si>
    <t xml:space="preserve">Margem Base</t>
  </si>
  <si>
    <t xml:space="preserve">Margem Máximo</t>
  </si>
  <si>
    <t xml:space="preserve">Custo/receita Mínimo</t>
  </si>
  <si>
    <t xml:space="preserve">Custo/receita Base</t>
  </si>
  <si>
    <t xml:space="preserve">Custo/receita Máximo</t>
  </si>
  <si>
    <t xml:space="preserve">Atende meta? (Base)</t>
  </si>
  <si>
    <t xml:space="preserve">Atende meta? (Máximo)</t>
  </si>
  <si>
    <t xml:space="preserve">Passes p/ pagar o CAC (Base)</t>
  </si>
  <si>
    <t xml:space="preserve">Passe – preço baixo</t>
  </si>
  <si>
    <t xml:space="preserve">Passe – preço médio</t>
  </si>
  <si>
    <t xml:space="preserve">Passe – preço alto</t>
  </si>
  <si>
    <t xml:space="preserve">Assinatura Pro (mensal)</t>
  </si>
  <si>
    <t xml:space="preserve">Passes para pagar o CAC = CAC por usuário ÷ margem base. O CAC é um placeholder (Premissas!B10).</t>
  </si>
  <si>
    <t xml:space="preserve">Custo de caixa do piloto (60 dias)</t>
  </si>
  <si>
    <t xml:space="preserve">Não inclui horas da equipe. A cota gratuita de buscas (Premissas!B15) é abatida uma única vez.</t>
  </si>
  <si>
    <t xml:space="preserve">Duração (dias)</t>
  </si>
  <si>
    <t xml:space="preserve">Buscas no piloto</t>
  </si>
  <si>
    <t xml:space="preserve">Buscas faturáveis</t>
  </si>
  <si>
    <t xml:space="preserve">Dados de voo (R$)</t>
  </si>
  <si>
    <t xml:space="preserve">Hospedagem, banco e automação (R$)</t>
  </si>
  <si>
    <t xml:space="preserve">E-mail e métricas (R$)</t>
  </si>
  <si>
    <t xml:space="preserve">API de LLM (R$)</t>
  </si>
  <si>
    <t xml:space="preserve">Total de caixa (R$)</t>
  </si>
  <si>
    <t xml:space="preserve">Custo de caixa por usuário do piloto (R$)</t>
  </si>
  <si>
    <t xml:space="preserve">ROI em 12 meses</t>
  </si>
  <si>
    <t xml:space="preserve">ROI = (lucro acumulado no período − investimento inicial) ÷ investimento inicial. Volume constante, sem crescimento nem churn.</t>
  </si>
  <si>
    <t xml:space="preserve">Custo variável por usuário (R$)</t>
  </si>
  <si>
    <t xml:space="preserve">Custo de caixa do piloto (R$)</t>
  </si>
  <si>
    <t xml:space="preserve">Outros investimentos iniciais (R$)</t>
  </si>
  <si>
    <t xml:space="preserve">Investimento inicial total (R$)</t>
  </si>
  <si>
    <t xml:space="preserve">Custo fixo mensal (R$)</t>
  </si>
  <si>
    <t xml:space="preserve">Meses de operação</t>
  </si>
  <si>
    <t xml:space="preserve">Comissão média por usuário (R$)</t>
  </si>
  <si>
    <t xml:space="preserve">Volume mensal →</t>
  </si>
  <si>
    <t xml:space="preserve">Margem/usuário (R$)</t>
  </si>
  <si>
    <t xml:space="preserve">Equilíbrio (usuários/mês)</t>
  </si>
  <si>
    <t xml:space="preserve">Lucro mensal – Conservador</t>
  </si>
  <si>
    <t xml:space="preserve">Lucro mensal – Base</t>
  </si>
  <si>
    <t xml:space="preserve">Lucro mensal – Otimista</t>
  </si>
  <si>
    <t xml:space="preserve">ROI – Conservador</t>
  </si>
  <si>
    <t xml:space="preserve">ROI – Base</t>
  </si>
  <si>
    <t xml:space="preserve">ROI – Otimista</t>
  </si>
  <si>
    <t xml:space="preserve">Notas:</t>
  </si>
  <si>
    <t xml:space="preserve">• Um passe equivale a um mês de radar ativo por usuário, e a assinatura é tratada como usuário/mês. O LTV da assinatura depende de retenção, que o modelo não captura.</t>
  </si>
  <si>
    <t xml:space="preserve">• Para a assinatura, o volume é o nº de assinantes ativos por mês. Para o passe, é o nº de passes vendidos por mês.</t>
  </si>
  <si>
    <t xml:space="preserve">• O CAC não está no ROI. Veja 'Passes p/ pagar o CAC' na aba Margem por usuário.</t>
  </si>
  <si>
    <t xml:space="preserve">• Mude o cenário de custo em Premissas!B31 para ver o ROI com custo mínimo ou máximo.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</si>
</sst>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&quot;R$ &quot;#,##0.00;&quot;(R$ &quot;#,##0.00\);\-"/>
    <numFmt numFmtId="166" formatCode="&quot;R$ &quot;0.00"/>
    <numFmt numFmtId="167" formatCode="&quot;US$ &quot;#,##0.00;&quot;(US$ &quot;#,##0.00\);\-"/>
    <numFmt numFmtId="168" formatCode="#,##0;\(#,##0\);\-"/>
    <numFmt numFmtId="169" formatCode="0.0%;\(0.0%\);\-"/>
    <numFmt numFmtId="170" formatCode="&quot;R$ &quot;#,##0;&quot;(R$ &quot;#,##0\);\-"/>
    <numFmt numFmtId="171" formatCode="#,##0.0;\(#,##0.0\);\-"/>
    <numFmt numFmtId="172" formatCode="0%;\(0%\);\-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  <sz val="10"/>
      </font>
    </dxf>
    <dxf>
      <font>
        <name val="Arial"/>
        <charset val="1"/>
        <family val="0"/>
        <color rgb="FFC00000"/>
        <sz val="1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23.8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23.8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5"/>
    <col collapsed="false" customWidth="true" hidden="false" outlineLevel="0" max="5" min="5" style="0" width="16"/>
    <col collapsed="false" customWidth="true" hidden="false" outlineLevel="0" max="6" min="6" style="0" width="70"/>
  </cols>
  <sheetData>
    <row r="1" customFormat="false" ht="17.35" hidden="false" customHeight="false" outlineLevel="0" collapsed="false">
      <c r="A1" s="1" t="s">
        <v>23</v>
      </c>
    </row>
    <row r="2" customFormat="false" ht="15" hidden="false" customHeight="false" outlineLevel="0" collapsed="false">
      <c r="A2" s="4" t="s">
        <v>24</v>
      </c>
    </row>
    <row r="4" customFormat="false" ht="15" hidden="false" customHeight="false" outlineLevel="0" collapsed="false">
      <c r="A4" s="5" t="s">
        <v>25</v>
      </c>
      <c r="B4" s="6"/>
      <c r="C4" s="6"/>
      <c r="D4" s="6"/>
      <c r="E4" s="6"/>
      <c r="F4" s="6"/>
    </row>
    <row r="5" customFormat="false" ht="15" hidden="false" customHeight="false" outlineLevel="0" collapsed="false">
      <c r="A5" s="7" t="s">
        <v>26</v>
      </c>
      <c r="B5" s="8" t="n">
        <v>29.9</v>
      </c>
      <c r="E5" s="7" t="s">
        <v>27</v>
      </c>
      <c r="F5" s="9" t="s">
        <v>28</v>
      </c>
    </row>
    <row r="6" customFormat="false" ht="15" hidden="false" customHeight="false" outlineLevel="0" collapsed="false">
      <c r="A6" s="7" t="s">
        <v>29</v>
      </c>
      <c r="B6" s="8" t="n">
        <v>39.9</v>
      </c>
      <c r="E6" s="7" t="s">
        <v>27</v>
      </c>
      <c r="F6" s="9" t="s">
        <v>30</v>
      </c>
    </row>
    <row r="7" customFormat="false" ht="15" hidden="false" customHeight="false" outlineLevel="0" collapsed="false">
      <c r="A7" s="7" t="s">
        <v>31</v>
      </c>
      <c r="B7" s="8" t="n">
        <v>49.9</v>
      </c>
      <c r="E7" s="7" t="s">
        <v>27</v>
      </c>
      <c r="F7" s="9"/>
    </row>
    <row r="8" customFormat="false" ht="15" hidden="false" customHeight="false" outlineLevel="0" collapsed="false">
      <c r="A8" s="7" t="s">
        <v>32</v>
      </c>
      <c r="B8" s="8" t="n">
        <v>24.9</v>
      </c>
      <c r="E8" s="7" t="s">
        <v>33</v>
      </c>
      <c r="F8" s="9" t="s">
        <v>34</v>
      </c>
    </row>
    <row r="9" customFormat="false" ht="15" hidden="false" customHeight="false" outlineLevel="0" collapsed="false">
      <c r="A9" s="7" t="s">
        <v>35</v>
      </c>
      <c r="B9" s="8" t="n">
        <v>0</v>
      </c>
      <c r="E9" s="7" t="s">
        <v>33</v>
      </c>
      <c r="F9" s="9" t="s">
        <v>36</v>
      </c>
    </row>
    <row r="10" customFormat="false" ht="15" hidden="false" customHeight="false" outlineLevel="0" collapsed="false">
      <c r="A10" s="7" t="s">
        <v>37</v>
      </c>
      <c r="B10" s="10" t="n">
        <v>15</v>
      </c>
      <c r="E10" s="7" t="s">
        <v>27</v>
      </c>
      <c r="F10" s="9" t="s">
        <v>38</v>
      </c>
    </row>
    <row r="12" customFormat="false" ht="15" hidden="false" customHeight="false" outlineLevel="0" collapsed="false">
      <c r="A12" s="5" t="s">
        <v>39</v>
      </c>
      <c r="B12" s="6"/>
      <c r="C12" s="6"/>
      <c r="D12" s="6"/>
      <c r="E12" s="6"/>
      <c r="F12" s="6"/>
    </row>
    <row r="13" customFormat="false" ht="15" hidden="false" customHeight="false" outlineLevel="0" collapsed="false">
      <c r="A13" s="7" t="s">
        <v>40</v>
      </c>
      <c r="B13" s="11" t="n">
        <v>5.5</v>
      </c>
      <c r="E13" s="7" t="s">
        <v>41</v>
      </c>
      <c r="F13" s="9" t="s">
        <v>42</v>
      </c>
    </row>
    <row r="14" customFormat="false" ht="39.75" hidden="false" customHeight="true" outlineLevel="0" collapsed="false">
      <c r="A14" s="7" t="s">
        <v>43</v>
      </c>
      <c r="B14" s="12" t="n">
        <v>2</v>
      </c>
      <c r="E14" s="7" t="s">
        <v>44</v>
      </c>
      <c r="F14" s="9" t="s">
        <v>45</v>
      </c>
    </row>
    <row r="15" customFormat="false" ht="39.75" hidden="false" customHeight="true" outlineLevel="0" collapsed="false">
      <c r="A15" s="7" t="s">
        <v>46</v>
      </c>
      <c r="B15" s="13" t="n">
        <v>0</v>
      </c>
      <c r="E15" s="7" t="s">
        <v>47</v>
      </c>
      <c r="F15" s="9" t="s">
        <v>48</v>
      </c>
    </row>
    <row r="16" customFormat="false" ht="15" hidden="false" customHeight="false" outlineLevel="0" collapsed="false">
      <c r="A16" s="7" t="s">
        <v>49</v>
      </c>
      <c r="B16" s="13" t="n">
        <v>5</v>
      </c>
      <c r="E16" s="7" t="s">
        <v>50</v>
      </c>
      <c r="F16" s="9" t="s">
        <v>51</v>
      </c>
    </row>
    <row r="17" customFormat="false" ht="15" hidden="false" customHeight="false" outlineLevel="0" collapsed="false">
      <c r="A17" s="7" t="s">
        <v>52</v>
      </c>
      <c r="B17" s="13" t="n">
        <v>30</v>
      </c>
      <c r="E17" s="7" t="s">
        <v>53</v>
      </c>
      <c r="F17" s="9" t="s">
        <v>54</v>
      </c>
    </row>
    <row r="18" customFormat="false" ht="15" hidden="false" customHeight="false" outlineLevel="0" collapsed="false">
      <c r="A18" s="7" t="s">
        <v>55</v>
      </c>
      <c r="B18" s="14" t="n">
        <v>0</v>
      </c>
      <c r="E18" s="7" t="s">
        <v>56</v>
      </c>
      <c r="F18" s="9" t="s">
        <v>57</v>
      </c>
    </row>
    <row r="20" customFormat="false" ht="15" hidden="false" customHeight="false" outlineLevel="0" collapsed="false">
      <c r="A20" s="5" t="s">
        <v>58</v>
      </c>
      <c r="B20" s="15" t="s">
        <v>59</v>
      </c>
      <c r="C20" s="15" t="s">
        <v>60</v>
      </c>
      <c r="D20" s="15" t="s">
        <v>61</v>
      </c>
      <c r="E20" s="6"/>
      <c r="F20" s="6"/>
    </row>
    <row r="21" customFormat="false" ht="22.35" hidden="false" customHeight="false" outlineLevel="0" collapsed="false">
      <c r="A21" s="7" t="s">
        <v>62</v>
      </c>
      <c r="B21" s="13" t="n">
        <v>1</v>
      </c>
      <c r="C21" s="13" t="n">
        <v>3</v>
      </c>
      <c r="D21" s="13" t="n">
        <v>10</v>
      </c>
      <c r="E21" s="7" t="s">
        <v>63</v>
      </c>
      <c r="F21" s="9" t="s">
        <v>64</v>
      </c>
    </row>
    <row r="22" customFormat="false" ht="15" hidden="false" customHeight="false" outlineLevel="0" collapsed="false">
      <c r="A22" s="7" t="s">
        <v>65</v>
      </c>
      <c r="B22" s="8" t="n">
        <v>1</v>
      </c>
      <c r="C22" s="8" t="n">
        <v>2</v>
      </c>
      <c r="D22" s="8" t="n">
        <v>3</v>
      </c>
      <c r="E22" s="7" t="s">
        <v>66</v>
      </c>
      <c r="F22" s="9" t="s">
        <v>67</v>
      </c>
    </row>
    <row r="23" customFormat="false" ht="15" hidden="false" customHeight="false" outlineLevel="0" collapsed="false">
      <c r="A23" s="7" t="s">
        <v>68</v>
      </c>
      <c r="B23" s="8" t="n">
        <v>0.2</v>
      </c>
      <c r="C23" s="8" t="n">
        <v>0.35</v>
      </c>
      <c r="D23" s="8" t="n">
        <v>0.5</v>
      </c>
      <c r="E23" s="7" t="s">
        <v>66</v>
      </c>
      <c r="F23" s="9" t="s">
        <v>69</v>
      </c>
    </row>
    <row r="24" customFormat="false" ht="15" hidden="false" customHeight="false" outlineLevel="0" collapsed="false">
      <c r="A24" s="7" t="s">
        <v>70</v>
      </c>
      <c r="B24" s="8" t="n">
        <v>1</v>
      </c>
      <c r="C24" s="8" t="n">
        <v>1.5</v>
      </c>
      <c r="D24" s="8" t="n">
        <v>2</v>
      </c>
      <c r="E24" s="7" t="s">
        <v>66</v>
      </c>
      <c r="F24" s="9" t="s">
        <v>71</v>
      </c>
    </row>
    <row r="25" customFormat="false" ht="15" hidden="false" customHeight="false" outlineLevel="0" collapsed="false">
      <c r="A25" s="4" t="s">
        <v>72</v>
      </c>
    </row>
    <row r="26" customFormat="false" ht="15" hidden="false" customHeight="false" outlineLevel="0" collapsed="false">
      <c r="A26" s="5" t="s">
        <v>73</v>
      </c>
      <c r="B26" s="6"/>
      <c r="C26" s="6"/>
      <c r="D26" s="6"/>
      <c r="E26" s="6"/>
      <c r="F26" s="6"/>
    </row>
    <row r="27" customFormat="false" ht="15" hidden="false" customHeight="false" outlineLevel="0" collapsed="false">
      <c r="A27" s="7" t="s">
        <v>74</v>
      </c>
      <c r="B27" s="16" t="n">
        <v>400</v>
      </c>
      <c r="E27" s="7" t="s">
        <v>33</v>
      </c>
      <c r="F27" s="9" t="s">
        <v>75</v>
      </c>
    </row>
    <row r="28" customFormat="false" ht="15" hidden="false" customHeight="false" outlineLevel="0" collapsed="false">
      <c r="A28" s="7" t="s">
        <v>76</v>
      </c>
      <c r="B28" s="17" t="n">
        <v>10000</v>
      </c>
      <c r="E28" s="7" t="s">
        <v>27</v>
      </c>
      <c r="F28" s="9" t="s">
        <v>77</v>
      </c>
    </row>
    <row r="29" customFormat="false" ht="15" hidden="false" customHeight="false" outlineLevel="0" collapsed="false">
      <c r="A29" s="7" t="s">
        <v>78</v>
      </c>
      <c r="B29" s="13" t="n">
        <v>12</v>
      </c>
      <c r="E29" s="7" t="s">
        <v>79</v>
      </c>
      <c r="F29" s="9"/>
    </row>
    <row r="30" customFormat="false" ht="15" hidden="false" customHeight="false" outlineLevel="0" collapsed="false">
      <c r="A30" s="7" t="s">
        <v>80</v>
      </c>
      <c r="B30" s="14" t="n">
        <v>0.3</v>
      </c>
      <c r="E30" s="7" t="s">
        <v>56</v>
      </c>
      <c r="F30" s="9" t="s">
        <v>81</v>
      </c>
    </row>
    <row r="31" customFormat="false" ht="15" hidden="false" customHeight="false" outlineLevel="0" collapsed="false">
      <c r="A31" s="7" t="s">
        <v>82</v>
      </c>
      <c r="B31" s="18" t="s">
        <v>60</v>
      </c>
      <c r="E31" s="7"/>
      <c r="F31" s="9" t="s">
        <v>83</v>
      </c>
    </row>
    <row r="33" customFormat="false" ht="15" hidden="false" customHeight="false" outlineLevel="0" collapsed="false">
      <c r="A33" s="5" t="s">
        <v>84</v>
      </c>
      <c r="B33" s="15" t="s">
        <v>85</v>
      </c>
      <c r="C33" s="15" t="s">
        <v>60</v>
      </c>
      <c r="D33" s="15" t="s">
        <v>86</v>
      </c>
      <c r="E33" s="6"/>
      <c r="F33" s="6"/>
    </row>
    <row r="34" customFormat="false" ht="15" hidden="false" customHeight="false" outlineLevel="0" collapsed="false">
      <c r="A34" s="7" t="s">
        <v>87</v>
      </c>
      <c r="B34" s="13" t="n">
        <v>50</v>
      </c>
      <c r="C34" s="13" t="n">
        <v>100</v>
      </c>
      <c r="D34" s="13" t="n">
        <v>200</v>
      </c>
      <c r="E34" s="7" t="s">
        <v>88</v>
      </c>
      <c r="F34" s="4" t="s">
        <v>89</v>
      </c>
    </row>
    <row r="36" customFormat="false" ht="15" hidden="false" customHeight="false" outlineLevel="0" collapsed="false">
      <c r="A36" s="5" t="s">
        <v>90</v>
      </c>
      <c r="B36" s="15" t="s">
        <v>59</v>
      </c>
      <c r="C36" s="15" t="s">
        <v>60</v>
      </c>
      <c r="D36" s="15" t="s">
        <v>61</v>
      </c>
      <c r="E36" s="6"/>
      <c r="F36" s="6"/>
    </row>
    <row r="37" customFormat="false" ht="15" hidden="false" customHeight="false" outlineLevel="0" collapsed="false">
      <c r="A37" s="7" t="s">
        <v>91</v>
      </c>
      <c r="B37" s="13" t="n">
        <v>15</v>
      </c>
      <c r="C37" s="13" t="n">
        <v>25</v>
      </c>
      <c r="D37" s="13" t="n">
        <v>30</v>
      </c>
      <c r="E37" s="7" t="s">
        <v>92</v>
      </c>
      <c r="F37" s="9" t="s">
        <v>93</v>
      </c>
    </row>
    <row r="38" customFormat="false" ht="15" hidden="false" customHeight="false" outlineLevel="0" collapsed="false">
      <c r="A38" s="7" t="s">
        <v>94</v>
      </c>
      <c r="B38" s="13" t="n">
        <v>60</v>
      </c>
      <c r="C38" s="13" t="n">
        <v>60</v>
      </c>
      <c r="D38" s="13" t="n">
        <v>60</v>
      </c>
      <c r="E38" s="7" t="s">
        <v>53</v>
      </c>
      <c r="F38" s="9"/>
    </row>
    <row r="39" customFormat="false" ht="15" hidden="false" customHeight="false" outlineLevel="0" collapsed="false">
      <c r="A39" s="7" t="s">
        <v>95</v>
      </c>
      <c r="B39" s="16" t="n">
        <v>0</v>
      </c>
      <c r="C39" s="16" t="n">
        <v>300</v>
      </c>
      <c r="D39" s="16" t="n">
        <v>600</v>
      </c>
      <c r="E39" s="7" t="s">
        <v>27</v>
      </c>
      <c r="F39" s="9" t="s">
        <v>96</v>
      </c>
    </row>
    <row r="40" customFormat="false" ht="15" hidden="false" customHeight="false" outlineLevel="0" collapsed="false">
      <c r="A40" s="7" t="s">
        <v>97</v>
      </c>
      <c r="B40" s="16" t="n">
        <v>0</v>
      </c>
      <c r="C40" s="16" t="n">
        <v>0</v>
      </c>
      <c r="D40" s="16" t="n">
        <v>0</v>
      </c>
      <c r="E40" s="7" t="s">
        <v>27</v>
      </c>
      <c r="F40" s="9" t="s">
        <v>98</v>
      </c>
    </row>
    <row r="41" customFormat="false" ht="15" hidden="false" customHeight="false" outlineLevel="0" collapsed="false">
      <c r="A41" s="7" t="s">
        <v>99</v>
      </c>
      <c r="B41" s="16" t="n">
        <v>100</v>
      </c>
      <c r="C41" s="16" t="n">
        <v>200</v>
      </c>
      <c r="D41" s="16" t="n">
        <v>300</v>
      </c>
      <c r="E41" s="7" t="s">
        <v>27</v>
      </c>
      <c r="F41" s="9" t="s">
        <v>100</v>
      </c>
    </row>
  </sheetData>
  <dataValidations count="1">
    <dataValidation allowBlank="false" errorStyle="stop" operator="between" showDropDown="false" showErrorMessage="false" showInputMessage="false" sqref="B31" type="list">
      <formula1>"Mínimo,Base,Máximo"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20"/>
  </cols>
  <sheetData>
    <row r="1" customFormat="false" ht="17.35" hidden="false" customHeight="false" outlineLevel="0" collapsed="false">
      <c r="A1" s="1" t="s">
        <v>101</v>
      </c>
    </row>
    <row r="2" customFormat="false" ht="15" hidden="false" customHeight="false" outlineLevel="0" collapsed="false">
      <c r="A2" s="4" t="s">
        <v>102</v>
      </c>
    </row>
    <row r="4" customFormat="false" ht="15" hidden="false" customHeight="false" outlineLevel="0" collapsed="false">
      <c r="A4" s="19" t="s">
        <v>103</v>
      </c>
      <c r="B4" s="19" t="s">
        <v>59</v>
      </c>
      <c r="C4" s="19" t="s">
        <v>60</v>
      </c>
      <c r="D4" s="19" t="s">
        <v>61</v>
      </c>
    </row>
    <row r="5" customFormat="false" ht="15" hidden="false" customHeight="false" outlineLevel="0" collapsed="false">
      <c r="A5" s="20" t="s">
        <v>62</v>
      </c>
      <c r="B5" s="21" t="n">
        <f aca="false">Premissas!B21</f>
        <v>1</v>
      </c>
      <c r="C5" s="21" t="n">
        <f aca="false">Premissas!C21</f>
        <v>3</v>
      </c>
      <c r="D5" s="21" t="n">
        <f aca="false">Premissas!D21</f>
        <v>10</v>
      </c>
    </row>
    <row r="6" customFormat="false" ht="15" hidden="false" customHeight="false" outlineLevel="0" collapsed="false">
      <c r="A6" s="20" t="s">
        <v>49</v>
      </c>
      <c r="B6" s="21" t="n">
        <f aca="false">Premissas!$B$16</f>
        <v>5</v>
      </c>
      <c r="C6" s="21" t="n">
        <f aca="false">Premissas!$B$16</f>
        <v>5</v>
      </c>
      <c r="D6" s="21" t="n">
        <f aca="false">Premissas!$B$16</f>
        <v>5</v>
      </c>
    </row>
    <row r="7" customFormat="false" ht="15" hidden="false" customHeight="false" outlineLevel="0" collapsed="false">
      <c r="A7" s="20" t="s">
        <v>52</v>
      </c>
      <c r="B7" s="21" t="n">
        <f aca="false">Premissas!$B$17</f>
        <v>30</v>
      </c>
      <c r="C7" s="21" t="n">
        <f aca="false">Premissas!$B$17</f>
        <v>30</v>
      </c>
      <c r="D7" s="21" t="n">
        <f aca="false">Premissas!$B$17</f>
        <v>30</v>
      </c>
    </row>
    <row r="8" customFormat="false" ht="15" hidden="false" customHeight="false" outlineLevel="0" collapsed="false">
      <c r="A8" s="20" t="s">
        <v>104</v>
      </c>
      <c r="B8" s="22" t="n">
        <f aca="false">B5*B6*B7*(1-Premissas!$B$18)</f>
        <v>150</v>
      </c>
      <c r="C8" s="22" t="n">
        <f aca="false">C5*C6*C7*(1-Premissas!$B$18)</f>
        <v>450</v>
      </c>
      <c r="D8" s="22" t="n">
        <f aca="false">D5*D6*D7*(1-Premissas!$B$18)</f>
        <v>1500</v>
      </c>
    </row>
    <row r="9" customFormat="false" ht="15" hidden="false" customHeight="false" outlineLevel="0" collapsed="false">
      <c r="A9" s="20" t="s">
        <v>105</v>
      </c>
      <c r="B9" s="23" t="n">
        <f aca="false">B8/1000*Premissas!$B$14</f>
        <v>0.3</v>
      </c>
      <c r="C9" s="23" t="n">
        <f aca="false">C8/1000*Premissas!$B$14</f>
        <v>0.9</v>
      </c>
      <c r="D9" s="23" t="n">
        <f aca="false">D8/1000*Premissas!$B$14</f>
        <v>3</v>
      </c>
    </row>
    <row r="10" customFormat="false" ht="15" hidden="false" customHeight="false" outlineLevel="0" collapsed="false">
      <c r="A10" s="20" t="s">
        <v>106</v>
      </c>
      <c r="B10" s="24" t="n">
        <f aca="false">B9*Premissas!$B$13</f>
        <v>1.65</v>
      </c>
      <c r="C10" s="24" t="n">
        <f aca="false">C9*Premissas!$B$13</f>
        <v>4.95</v>
      </c>
      <c r="D10" s="24" t="n">
        <f aca="false">D9*Premissas!$B$13</f>
        <v>16.5</v>
      </c>
    </row>
    <row r="12" customFormat="false" ht="15" hidden="false" customHeight="false" outlineLevel="0" collapsed="false">
      <c r="A12" s="25" t="s">
        <v>107</v>
      </c>
    </row>
    <row r="13" customFormat="false" ht="27.75" hidden="false" customHeight="true" outlineLevel="0" collapsed="false">
      <c r="A13" s="19" t="s">
        <v>108</v>
      </c>
      <c r="B13" s="19" t="s">
        <v>109</v>
      </c>
      <c r="C13" s="19" t="s">
        <v>110</v>
      </c>
    </row>
    <row r="14" customFormat="false" ht="15" hidden="false" customHeight="false" outlineLevel="0" collapsed="false">
      <c r="A14" s="13" t="n">
        <v>1</v>
      </c>
      <c r="B14" s="22" t="n">
        <f aca="false">A14*Premissas!$B$16*Premissas!$B$17*(1-Premissas!$B$18)</f>
        <v>150</v>
      </c>
      <c r="C14" s="26" t="n">
        <f aca="false">B14/1000*Premissas!$B$14*Premissas!$B$13</f>
        <v>1.65</v>
      </c>
    </row>
    <row r="15" customFormat="false" ht="15" hidden="false" customHeight="false" outlineLevel="0" collapsed="false">
      <c r="A15" s="13" t="n">
        <v>2</v>
      </c>
      <c r="B15" s="22" t="n">
        <f aca="false">A15*Premissas!$B$16*Premissas!$B$17*(1-Premissas!$B$18)</f>
        <v>300</v>
      </c>
      <c r="C15" s="26" t="n">
        <f aca="false">B15/1000*Premissas!$B$14*Premissas!$B$13</f>
        <v>3.3</v>
      </c>
    </row>
    <row r="16" customFormat="false" ht="15" hidden="false" customHeight="false" outlineLevel="0" collapsed="false">
      <c r="A16" s="13" t="n">
        <v>3</v>
      </c>
      <c r="B16" s="22" t="n">
        <f aca="false">A16*Premissas!$B$16*Premissas!$B$17*(1-Premissas!$B$18)</f>
        <v>450</v>
      </c>
      <c r="C16" s="26" t="n">
        <f aca="false">B16/1000*Premissas!$B$14*Premissas!$B$13</f>
        <v>4.95</v>
      </c>
    </row>
    <row r="17" customFormat="false" ht="15" hidden="false" customHeight="false" outlineLevel="0" collapsed="false">
      <c r="A17" s="13" t="n">
        <v>5</v>
      </c>
      <c r="B17" s="22" t="n">
        <f aca="false">A17*Premissas!$B$16*Premissas!$B$17*(1-Premissas!$B$18)</f>
        <v>750</v>
      </c>
      <c r="C17" s="26" t="n">
        <f aca="false">B17/1000*Premissas!$B$14*Premissas!$B$13</f>
        <v>8.25</v>
      </c>
    </row>
    <row r="18" customFormat="false" ht="15" hidden="false" customHeight="false" outlineLevel="0" collapsed="false">
      <c r="A18" s="13" t="n">
        <v>10</v>
      </c>
      <c r="B18" s="22" t="n">
        <f aca="false">A18*Premissas!$B$16*Premissas!$B$17*(1-Premissas!$B$18)</f>
        <v>1500</v>
      </c>
      <c r="C18" s="26" t="n">
        <f aca="false">B18/1000*Premissas!$B$14*Premissas!$B$13</f>
        <v>16.5</v>
      </c>
    </row>
    <row r="19" customFormat="false" ht="15" hidden="false" customHeight="false" outlineLevel="0" collapsed="false">
      <c r="A19" s="13" t="n">
        <v>20</v>
      </c>
      <c r="B19" s="22" t="n">
        <f aca="false">A19*Premissas!$B$16*Premissas!$B$17*(1-Premissas!$B$18)</f>
        <v>3000</v>
      </c>
      <c r="C19" s="26" t="n">
        <f aca="false">B19/1000*Premissas!$B$14*Premissas!$B$13</f>
        <v>33</v>
      </c>
    </row>
    <row r="22" customFormat="false" ht="15" hidden="false" customHeight="false" outlineLevel="0" collapsed="false">
      <c r="A22" s="25" t="s">
        <v>111</v>
      </c>
    </row>
    <row r="23" customFormat="false" ht="15" hidden="false" customHeight="false" outlineLevel="0" collapsed="false">
      <c r="A23" s="19" t="s">
        <v>112</v>
      </c>
      <c r="B23" s="27" t="n">
        <v>15</v>
      </c>
      <c r="C23" s="27" t="n">
        <v>30</v>
      </c>
      <c r="D23" s="27" t="n">
        <v>100</v>
      </c>
      <c r="E23" s="27" t="n">
        <v>200</v>
      </c>
    </row>
    <row r="24" customFormat="false" ht="15" hidden="false" customHeight="false" outlineLevel="0" collapsed="false">
      <c r="A24" s="13" t="n">
        <v>1</v>
      </c>
      <c r="B24" s="28" t="n">
        <f aca="false">$A24*B$23*Premissas!$B$16*Premissas!$B$17*(1-Premissas!$B$18)/1000*Premissas!$B$14*Premissas!$B$13</f>
        <v>24.75</v>
      </c>
      <c r="C24" s="28" t="n">
        <f aca="false">$A24*C$23*Premissas!$B$16*Premissas!$B$17*(1-Premissas!$B$18)/1000*Premissas!$B$14*Premissas!$B$13</f>
        <v>49.5</v>
      </c>
      <c r="D24" s="28" t="n">
        <f aca="false">$A24*D$23*Premissas!$B$16*Premissas!$B$17*(1-Premissas!$B$18)/1000*Premissas!$B$14*Premissas!$B$13</f>
        <v>165</v>
      </c>
      <c r="E24" s="28" t="n">
        <f aca="false">$A24*E$23*Premissas!$B$16*Premissas!$B$17*(1-Premissas!$B$18)/1000*Premissas!$B$14*Premissas!$B$13</f>
        <v>330</v>
      </c>
    </row>
    <row r="25" customFormat="false" ht="15" hidden="false" customHeight="false" outlineLevel="0" collapsed="false">
      <c r="A25" s="13" t="n">
        <v>3</v>
      </c>
      <c r="B25" s="28" t="n">
        <f aca="false">$A25*B$23*Premissas!$B$16*Premissas!$B$17*(1-Premissas!$B$18)/1000*Premissas!$B$14*Premissas!$B$13</f>
        <v>74.25</v>
      </c>
      <c r="C25" s="28" t="n">
        <f aca="false">$A25*C$23*Premissas!$B$16*Premissas!$B$17*(1-Premissas!$B$18)/1000*Premissas!$B$14*Premissas!$B$13</f>
        <v>148.5</v>
      </c>
      <c r="D25" s="28" t="n">
        <f aca="false">$A25*D$23*Premissas!$B$16*Premissas!$B$17*(1-Premissas!$B$18)/1000*Premissas!$B$14*Premissas!$B$13</f>
        <v>495</v>
      </c>
      <c r="E25" s="28" t="n">
        <f aca="false">$A25*E$23*Premissas!$B$16*Premissas!$B$17*(1-Premissas!$B$18)/1000*Premissas!$B$14*Premissas!$B$13</f>
        <v>990</v>
      </c>
    </row>
    <row r="26" customFormat="false" ht="15" hidden="false" customHeight="false" outlineLevel="0" collapsed="false">
      <c r="A26" s="13" t="n">
        <v>10</v>
      </c>
      <c r="B26" s="28" t="n">
        <f aca="false">$A26*B$23*Premissas!$B$16*Premissas!$B$17*(1-Premissas!$B$18)/1000*Premissas!$B$14*Premissas!$B$13</f>
        <v>247.5</v>
      </c>
      <c r="C26" s="28" t="n">
        <f aca="false">$A26*C$23*Premissas!$B$16*Premissas!$B$17*(1-Premissas!$B$18)/1000*Premissas!$B$14*Premissas!$B$13</f>
        <v>495</v>
      </c>
      <c r="D26" s="28" t="n">
        <f aca="false">$A26*D$23*Premissas!$B$16*Premissas!$B$17*(1-Premissas!$B$18)/1000*Premissas!$B$14*Premissas!$B$13</f>
        <v>1650</v>
      </c>
      <c r="E26" s="28" t="n">
        <f aca="false">$A26*E$23*Premissas!$B$16*Premissas!$B$17*(1-Premissas!$B$18)/1000*Premissas!$B$14*Premissas!$B$13</f>
        <v>3300</v>
      </c>
    </row>
    <row r="27" customFormat="false" ht="15" hidden="false" customHeight="false" outlineLevel="0" collapsed="false">
      <c r="A27" s="13" t="n">
        <v>20</v>
      </c>
      <c r="B27" s="28" t="n">
        <f aca="false">$A27*B$23*Premissas!$B$16*Premissas!$B$17*(1-Premissas!$B$18)/1000*Premissas!$B$14*Premissas!$B$13</f>
        <v>495</v>
      </c>
      <c r="C27" s="28" t="n">
        <f aca="false">$A27*C$23*Premissas!$B$16*Premissas!$B$17*(1-Premissas!$B$18)/1000*Premissas!$B$14*Premissas!$B$13</f>
        <v>990</v>
      </c>
      <c r="D27" s="28" t="n">
        <f aca="false">$A27*D$23*Premissas!$B$16*Premissas!$B$17*(1-Premissas!$B$18)/1000*Premissas!$B$14*Premissas!$B$13</f>
        <v>3300</v>
      </c>
      <c r="E27" s="28" t="n">
        <f aca="false">$A27*E$23*Premissas!$B$16*Premissas!$B$17*(1-Premissas!$B$18)/1000*Premissas!$B$14*Premissas!$B$13</f>
        <v>6600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4"/>
  </cols>
  <sheetData>
    <row r="1" customFormat="false" ht="17.35" hidden="false" customHeight="false" outlineLevel="0" collapsed="false">
      <c r="A1" s="1" t="s">
        <v>113</v>
      </c>
    </row>
    <row r="2" customFormat="false" ht="15" hidden="false" customHeight="false" outlineLevel="0" collapsed="false">
      <c r="A2" s="4" t="s">
        <v>114</v>
      </c>
    </row>
    <row r="4" customFormat="false" ht="15" hidden="false" customHeight="false" outlineLevel="0" collapsed="false">
      <c r="A4" s="19" t="s">
        <v>115</v>
      </c>
      <c r="B4" s="19" t="s">
        <v>59</v>
      </c>
      <c r="C4" s="19" t="s">
        <v>60</v>
      </c>
      <c r="D4" s="19" t="s">
        <v>61</v>
      </c>
    </row>
    <row r="5" customFormat="false" ht="15" hidden="false" customHeight="false" outlineLevel="0" collapsed="false">
      <c r="A5" s="20" t="s">
        <v>116</v>
      </c>
      <c r="B5" s="29" t="n">
        <f aca="false">Premissas!B22</f>
        <v>1</v>
      </c>
      <c r="C5" s="29" t="n">
        <f aca="false">Premissas!C22</f>
        <v>2</v>
      </c>
      <c r="D5" s="29" t="n">
        <f aca="false">Premissas!D22</f>
        <v>3</v>
      </c>
    </row>
    <row r="6" customFormat="false" ht="15" hidden="false" customHeight="false" outlineLevel="0" collapsed="false">
      <c r="A6" s="20" t="s">
        <v>117</v>
      </c>
      <c r="B6" s="29" t="n">
        <f aca="false">'Dados de voo'!B10</f>
        <v>1.65</v>
      </c>
      <c r="C6" s="29" t="n">
        <f aca="false">'Dados de voo'!C10</f>
        <v>4.95</v>
      </c>
      <c r="D6" s="29" t="n">
        <f aca="false">'Dados de voo'!D10</f>
        <v>16.5</v>
      </c>
    </row>
    <row r="7" customFormat="false" ht="15" hidden="false" customHeight="false" outlineLevel="0" collapsed="false">
      <c r="A7" s="20" t="s">
        <v>118</v>
      </c>
      <c r="B7" s="29" t="n">
        <f aca="false">Premissas!B23</f>
        <v>0.2</v>
      </c>
      <c r="C7" s="29" t="n">
        <f aca="false">Premissas!C23</f>
        <v>0.35</v>
      </c>
      <c r="D7" s="29" t="n">
        <f aca="false">Premissas!D23</f>
        <v>0.5</v>
      </c>
    </row>
    <row r="8" customFormat="false" ht="15" hidden="false" customHeight="false" outlineLevel="0" collapsed="false">
      <c r="A8" s="20" t="s">
        <v>119</v>
      </c>
      <c r="B8" s="29" t="n">
        <f aca="false">Premissas!B24</f>
        <v>1</v>
      </c>
      <c r="C8" s="29" t="n">
        <f aca="false">Premissas!C24</f>
        <v>1.5</v>
      </c>
      <c r="D8" s="29" t="n">
        <f aca="false">Premissas!D24</f>
        <v>2</v>
      </c>
    </row>
    <row r="9" customFormat="false" ht="15" hidden="false" customHeight="false" outlineLevel="0" collapsed="false">
      <c r="A9" s="30" t="s">
        <v>120</v>
      </c>
      <c r="B9" s="24" t="n">
        <f aca="false">SUM(B5:B8)</f>
        <v>3.85</v>
      </c>
      <c r="C9" s="24" t="n">
        <f aca="false">SUM(C5:C8)</f>
        <v>8.8</v>
      </c>
      <c r="D9" s="24" t="n">
        <f aca="false">SUM(D5:D8)</f>
        <v>22</v>
      </c>
    </row>
    <row r="12" customFormat="false" ht="42" hidden="false" customHeight="true" outlineLevel="0" collapsed="false">
      <c r="A12" s="19" t="s">
        <v>121</v>
      </c>
      <c r="B12" s="19" t="s">
        <v>122</v>
      </c>
      <c r="C12" s="19" t="s">
        <v>123</v>
      </c>
      <c r="D12" s="19" t="s">
        <v>124</v>
      </c>
      <c r="E12" s="19" t="s">
        <v>125</v>
      </c>
      <c r="F12" s="19" t="s">
        <v>126</v>
      </c>
      <c r="G12" s="19" t="s">
        <v>127</v>
      </c>
      <c r="H12" s="19" t="s">
        <v>128</v>
      </c>
      <c r="I12" s="19" t="s">
        <v>129</v>
      </c>
      <c r="J12" s="19" t="s">
        <v>130</v>
      </c>
      <c r="K12" s="19" t="s">
        <v>131</v>
      </c>
      <c r="L12" s="19" t="s">
        <v>132</v>
      </c>
      <c r="M12" s="19" t="s">
        <v>133</v>
      </c>
      <c r="N12" s="19" t="s">
        <v>134</v>
      </c>
    </row>
    <row r="13" customFormat="false" ht="15" hidden="false" customHeight="false" outlineLevel="0" collapsed="false">
      <c r="A13" s="20" t="s">
        <v>135</v>
      </c>
      <c r="B13" s="29" t="n">
        <f aca="false">Premissas!B5</f>
        <v>29.9</v>
      </c>
      <c r="C13" s="26" t="n">
        <f aca="false">$B$9</f>
        <v>3.85</v>
      </c>
      <c r="D13" s="26" t="n">
        <f aca="false">$C$9</f>
        <v>8.8</v>
      </c>
      <c r="E13" s="26" t="n">
        <f aca="false">$D$9</f>
        <v>22</v>
      </c>
      <c r="F13" s="26" t="n">
        <f aca="false">$B13+Premissas!$B$9-C13</f>
        <v>26.05</v>
      </c>
      <c r="G13" s="24" t="n">
        <f aca="false">$B13+Premissas!$B$9-D13</f>
        <v>21.1</v>
      </c>
      <c r="H13" s="26" t="n">
        <f aca="false">$B13+Premissas!$B$9-E13</f>
        <v>7.9</v>
      </c>
      <c r="I13" s="31" t="n">
        <f aca="false">IF($B13&gt;0,C13/$B13,0)</f>
        <v>0.12876254180602</v>
      </c>
      <c r="J13" s="31" t="n">
        <f aca="false">IF($B13&gt;0,D13/$B13,0)</f>
        <v>0.294314381270903</v>
      </c>
      <c r="K13" s="31" t="n">
        <f aca="false">IF($B13&gt;0,E13/$B13,0)</f>
        <v>0.735785953177258</v>
      </c>
      <c r="L13" s="32" t="str">
        <f aca="false">IF(J13&lt;=Premissas!$B$30,"Sim","Não")</f>
        <v>Sim</v>
      </c>
      <c r="M13" s="32" t="str">
        <f aca="false">IF(K13&lt;=Premissas!$B$30,"Sim","Não")</f>
        <v>Não</v>
      </c>
      <c r="N13" s="33" t="n">
        <f aca="false">IF(G13&gt;0,Premissas!$B$10/G13,"n/a")</f>
        <v>0.710900473933649</v>
      </c>
    </row>
    <row r="14" customFormat="false" ht="15" hidden="false" customHeight="false" outlineLevel="0" collapsed="false">
      <c r="A14" s="20" t="s">
        <v>136</v>
      </c>
      <c r="B14" s="29" t="n">
        <f aca="false">Premissas!B6</f>
        <v>39.9</v>
      </c>
      <c r="C14" s="26" t="n">
        <f aca="false">$B$9</f>
        <v>3.85</v>
      </c>
      <c r="D14" s="26" t="n">
        <f aca="false">$C$9</f>
        <v>8.8</v>
      </c>
      <c r="E14" s="26" t="n">
        <f aca="false">$D$9</f>
        <v>22</v>
      </c>
      <c r="F14" s="26" t="n">
        <f aca="false">$B14+Premissas!$B$9-C14</f>
        <v>36.05</v>
      </c>
      <c r="G14" s="24" t="n">
        <f aca="false">$B14+Premissas!$B$9-D14</f>
        <v>31.1</v>
      </c>
      <c r="H14" s="26" t="n">
        <f aca="false">$B14+Premissas!$B$9-E14</f>
        <v>17.9</v>
      </c>
      <c r="I14" s="31" t="n">
        <f aca="false">IF($B14&gt;0,C14/$B14,0)</f>
        <v>0.0964912280701755</v>
      </c>
      <c r="J14" s="31" t="n">
        <f aca="false">IF($B14&gt;0,D14/$B14,0)</f>
        <v>0.220551378446115</v>
      </c>
      <c r="K14" s="31" t="n">
        <f aca="false">IF($B14&gt;0,E14/$B14,0)</f>
        <v>0.551378446115288</v>
      </c>
      <c r="L14" s="32" t="str">
        <f aca="false">IF(J14&lt;=Premissas!$B$30,"Sim","Não")</f>
        <v>Sim</v>
      </c>
      <c r="M14" s="32" t="str">
        <f aca="false">IF(K14&lt;=Premissas!$B$30,"Sim","Não")</f>
        <v>Não</v>
      </c>
      <c r="N14" s="33" t="n">
        <f aca="false">IF(G14&gt;0,Premissas!$B$10/G14,"n/a")</f>
        <v>0.482315112540193</v>
      </c>
    </row>
    <row r="15" customFormat="false" ht="15" hidden="false" customHeight="false" outlineLevel="0" collapsed="false">
      <c r="A15" s="20" t="s">
        <v>137</v>
      </c>
      <c r="B15" s="29" t="n">
        <f aca="false">Premissas!B7</f>
        <v>49.9</v>
      </c>
      <c r="C15" s="26" t="n">
        <f aca="false">$B$9</f>
        <v>3.85</v>
      </c>
      <c r="D15" s="26" t="n">
        <f aca="false">$C$9</f>
        <v>8.8</v>
      </c>
      <c r="E15" s="26" t="n">
        <f aca="false">$D$9</f>
        <v>22</v>
      </c>
      <c r="F15" s="26" t="n">
        <f aca="false">$B15+Premissas!$B$9-C15</f>
        <v>46.05</v>
      </c>
      <c r="G15" s="24" t="n">
        <f aca="false">$B15+Premissas!$B$9-D15</f>
        <v>41.1</v>
      </c>
      <c r="H15" s="26" t="n">
        <f aca="false">$B15+Premissas!$B$9-E15</f>
        <v>27.9</v>
      </c>
      <c r="I15" s="31" t="n">
        <f aca="false">IF($B15&gt;0,C15/$B15,0)</f>
        <v>0.0771543086172345</v>
      </c>
      <c r="J15" s="31" t="n">
        <f aca="false">IF($B15&gt;0,D15/$B15,0)</f>
        <v>0.176352705410822</v>
      </c>
      <c r="K15" s="31" t="n">
        <f aca="false">IF($B15&gt;0,E15/$B15,0)</f>
        <v>0.440881763527054</v>
      </c>
      <c r="L15" s="32" t="str">
        <f aca="false">IF(J15&lt;=Premissas!$B$30,"Sim","Não")</f>
        <v>Sim</v>
      </c>
      <c r="M15" s="32" t="str">
        <f aca="false">IF(K15&lt;=Premissas!$B$30,"Sim","Não")</f>
        <v>Não</v>
      </c>
      <c r="N15" s="33" t="n">
        <f aca="false">IF(G15&gt;0,Premissas!$B$10/G15,"n/a")</f>
        <v>0.364963503649635</v>
      </c>
    </row>
    <row r="16" customFormat="false" ht="15" hidden="false" customHeight="false" outlineLevel="0" collapsed="false">
      <c r="A16" s="20" t="s">
        <v>138</v>
      </c>
      <c r="B16" s="29" t="n">
        <f aca="false">Premissas!B8</f>
        <v>24.9</v>
      </c>
      <c r="C16" s="26" t="n">
        <f aca="false">$B$9</f>
        <v>3.85</v>
      </c>
      <c r="D16" s="26" t="n">
        <f aca="false">$C$9</f>
        <v>8.8</v>
      </c>
      <c r="E16" s="26" t="n">
        <f aca="false">$D$9</f>
        <v>22</v>
      </c>
      <c r="F16" s="26" t="n">
        <f aca="false">$B16+Premissas!$B$9-C16</f>
        <v>21.05</v>
      </c>
      <c r="G16" s="24" t="n">
        <f aca="false">$B16+Premissas!$B$9-D16</f>
        <v>16.1</v>
      </c>
      <c r="H16" s="26" t="n">
        <f aca="false">$B16+Premissas!$B$9-E16</f>
        <v>2.9</v>
      </c>
      <c r="I16" s="31" t="n">
        <f aca="false">IF($B16&gt;0,C16/$B16,0)</f>
        <v>0.154618473895582</v>
      </c>
      <c r="J16" s="31" t="n">
        <f aca="false">IF($B16&gt;0,D16/$B16,0)</f>
        <v>0.353413654618474</v>
      </c>
      <c r="K16" s="31" t="n">
        <f aca="false">IF($B16&gt;0,E16/$B16,0)</f>
        <v>0.883534136546185</v>
      </c>
      <c r="L16" s="32" t="str">
        <f aca="false">IF(J16&lt;=Premissas!$B$30,"Sim","Não")</f>
        <v>Não</v>
      </c>
      <c r="M16" s="32" t="str">
        <f aca="false">IF(K16&lt;=Premissas!$B$30,"Sim","Não")</f>
        <v>Não</v>
      </c>
      <c r="N16" s="33" t="n">
        <f aca="false">IF(G16&gt;0,Premissas!$B$10/G16,"n/a")</f>
        <v>0.931677018633541</v>
      </c>
    </row>
    <row r="18" customFormat="false" ht="15" hidden="false" customHeight="false" outlineLevel="0" collapsed="false">
      <c r="A18" s="4" t="s">
        <v>139</v>
      </c>
    </row>
  </sheetData>
  <conditionalFormatting sqref="L13:M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1">
      <formula>"Não"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4" min="2" style="0" width="16"/>
  </cols>
  <sheetData>
    <row r="1" customFormat="false" ht="17.35" hidden="false" customHeight="false" outlineLevel="0" collapsed="false">
      <c r="A1" s="1" t="s">
        <v>140</v>
      </c>
    </row>
    <row r="2" customFormat="false" ht="15" hidden="false" customHeight="false" outlineLevel="0" collapsed="false">
      <c r="A2" s="4" t="s">
        <v>141</v>
      </c>
    </row>
    <row r="4" customFormat="false" ht="15" hidden="false" customHeight="false" outlineLevel="0" collapsed="false">
      <c r="A4" s="19" t="s">
        <v>103</v>
      </c>
      <c r="B4" s="19" t="s">
        <v>59</v>
      </c>
      <c r="C4" s="19" t="s">
        <v>60</v>
      </c>
      <c r="D4" s="19" t="s">
        <v>61</v>
      </c>
    </row>
    <row r="5" customFormat="false" ht="15" hidden="false" customHeight="false" outlineLevel="0" collapsed="false">
      <c r="A5" s="20" t="s">
        <v>91</v>
      </c>
      <c r="B5" s="21" t="n">
        <f aca="false">Premissas!B37</f>
        <v>15</v>
      </c>
      <c r="C5" s="21" t="n">
        <f aca="false">Premissas!C37</f>
        <v>25</v>
      </c>
      <c r="D5" s="21" t="n">
        <f aca="false">Premissas!D37</f>
        <v>30</v>
      </c>
    </row>
    <row r="6" customFormat="false" ht="15" hidden="false" customHeight="false" outlineLevel="0" collapsed="false">
      <c r="A6" s="20" t="s">
        <v>142</v>
      </c>
      <c r="B6" s="21" t="n">
        <f aca="false">Premissas!B38</f>
        <v>60</v>
      </c>
      <c r="C6" s="21" t="n">
        <f aca="false">Premissas!C38</f>
        <v>60</v>
      </c>
      <c r="D6" s="21" t="n">
        <f aca="false">Premissas!D38</f>
        <v>60</v>
      </c>
    </row>
    <row r="7" customFormat="false" ht="15" hidden="false" customHeight="false" outlineLevel="0" collapsed="false">
      <c r="A7" s="20" t="s">
        <v>143</v>
      </c>
      <c r="B7" s="22" t="n">
        <f aca="false">B5*Premissas!$B$16*Premissas!B21*B6*(1-Premissas!$B$18)</f>
        <v>4500</v>
      </c>
      <c r="C7" s="22" t="n">
        <f aca="false">C5*Premissas!$B$16*Premissas!C21*C6*(1-Premissas!$B$18)</f>
        <v>22500</v>
      </c>
      <c r="D7" s="22" t="n">
        <f aca="false">D5*Premissas!$B$16*Premissas!D21*D6*(1-Premissas!$B$18)</f>
        <v>90000</v>
      </c>
    </row>
    <row r="8" customFormat="false" ht="15" hidden="false" customHeight="false" outlineLevel="0" collapsed="false">
      <c r="A8" s="20" t="s">
        <v>144</v>
      </c>
      <c r="B8" s="22" t="n">
        <f aca="false">MAX(0,B7-Premissas!$B$15)</f>
        <v>4500</v>
      </c>
      <c r="C8" s="22" t="n">
        <f aca="false">MAX(0,C7-Premissas!$B$15)</f>
        <v>22500</v>
      </c>
      <c r="D8" s="22" t="n">
        <f aca="false">MAX(0,D7-Premissas!$B$15)</f>
        <v>90000</v>
      </c>
    </row>
    <row r="9" customFormat="false" ht="15" hidden="false" customHeight="false" outlineLevel="0" collapsed="false">
      <c r="A9" s="20" t="s">
        <v>145</v>
      </c>
      <c r="B9" s="28" t="n">
        <f aca="false">B8/1000*Premissas!$B$14*Premissas!$B$13</f>
        <v>49.5</v>
      </c>
      <c r="C9" s="28" t="n">
        <f aca="false">C8/1000*Premissas!$B$14*Premissas!$B$13</f>
        <v>247.5</v>
      </c>
      <c r="D9" s="28" t="n">
        <f aca="false">D8/1000*Premissas!$B$14*Premissas!$B$13</f>
        <v>990</v>
      </c>
    </row>
    <row r="10" customFormat="false" ht="15" hidden="false" customHeight="false" outlineLevel="0" collapsed="false">
      <c r="A10" s="20" t="s">
        <v>146</v>
      </c>
      <c r="B10" s="34" t="n">
        <f aca="false">Premissas!B39</f>
        <v>0</v>
      </c>
      <c r="C10" s="34" t="n">
        <f aca="false">Premissas!C39</f>
        <v>300</v>
      </c>
      <c r="D10" s="34" t="n">
        <f aca="false">Premissas!D39</f>
        <v>600</v>
      </c>
    </row>
    <row r="11" customFormat="false" ht="15" hidden="false" customHeight="false" outlineLevel="0" collapsed="false">
      <c r="A11" s="20" t="s">
        <v>147</v>
      </c>
      <c r="B11" s="34" t="n">
        <f aca="false">Premissas!B40</f>
        <v>0</v>
      </c>
      <c r="C11" s="34" t="n">
        <f aca="false">Premissas!C40</f>
        <v>0</v>
      </c>
      <c r="D11" s="34" t="n">
        <f aca="false">Premissas!D40</f>
        <v>0</v>
      </c>
    </row>
    <row r="12" customFormat="false" ht="15" hidden="false" customHeight="false" outlineLevel="0" collapsed="false">
      <c r="A12" s="20" t="s">
        <v>148</v>
      </c>
      <c r="B12" s="34" t="n">
        <f aca="false">Premissas!B41</f>
        <v>100</v>
      </c>
      <c r="C12" s="34" t="n">
        <f aca="false">Premissas!C41</f>
        <v>200</v>
      </c>
      <c r="D12" s="34" t="n">
        <f aca="false">Premissas!D41</f>
        <v>300</v>
      </c>
    </row>
    <row r="13" customFormat="false" ht="15" hidden="false" customHeight="false" outlineLevel="0" collapsed="false">
      <c r="A13" s="30" t="s">
        <v>149</v>
      </c>
      <c r="B13" s="35" t="n">
        <f aca="false">SUM(B9:B12)</f>
        <v>149.5</v>
      </c>
      <c r="C13" s="35" t="n">
        <f aca="false">SUM(C9:C12)</f>
        <v>747.5</v>
      </c>
      <c r="D13" s="35" t="n">
        <f aca="false">SUM(D9:D12)</f>
        <v>1890</v>
      </c>
    </row>
    <row r="15" customFormat="false" ht="15" hidden="false" customHeight="false" outlineLevel="0" collapsed="false">
      <c r="A15" s="30" t="s">
        <v>150</v>
      </c>
      <c r="B15" s="24" t="n">
        <f aca="false">IF(B5&gt;0,B13/B5,0)</f>
        <v>9.96666666666667</v>
      </c>
      <c r="C15" s="24" t="n">
        <f aca="false">IF(C5&gt;0,C13/C5,0)</f>
        <v>29.9</v>
      </c>
      <c r="D15" s="24" t="n">
        <f aca="false">IF(D5&gt;0,D13/D5,0)</f>
        <v>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10" min="2" style="0" width="17"/>
  </cols>
  <sheetData>
    <row r="1" customFormat="false" ht="17.35" hidden="false" customHeight="false" outlineLevel="0" collapsed="false">
      <c r="A1" s="1" t="s">
        <v>151</v>
      </c>
    </row>
    <row r="2" customFormat="false" ht="15" hidden="false" customHeight="false" outlineLevel="0" collapsed="false">
      <c r="A2" s="4" t="s">
        <v>152</v>
      </c>
    </row>
    <row r="3" customFormat="false" ht="15" hidden="false" customHeight="false" outlineLevel="0" collapsed="false">
      <c r="A3" s="20" t="s">
        <v>82</v>
      </c>
      <c r="B3" s="36" t="str">
        <f aca="false">Premissas!B31</f>
        <v>Base</v>
      </c>
    </row>
    <row r="4" customFormat="false" ht="15" hidden="false" customHeight="false" outlineLevel="0" collapsed="false">
      <c r="A4" s="20" t="s">
        <v>153</v>
      </c>
      <c r="B4" s="26" t="n">
        <f aca="false">INDEX('Margem por usuário'!$B$9:$D$9,MATCH($B$3,'Margem por usuário'!$B$4:$D$4,0))</f>
        <v>8.8</v>
      </c>
    </row>
    <row r="5" customFormat="false" ht="15" hidden="false" customHeight="false" outlineLevel="0" collapsed="false">
      <c r="A5" s="20" t="s">
        <v>154</v>
      </c>
      <c r="B5" s="28" t="n">
        <f aca="false">INDEX('Piloto 60 dias'!$B$13:$D$13,MATCH($B$3,'Piloto 60 dias'!$B$4:$D$4,0))</f>
        <v>747.5</v>
      </c>
    </row>
    <row r="6" customFormat="false" ht="15" hidden="false" customHeight="false" outlineLevel="0" collapsed="false">
      <c r="A6" s="20" t="s">
        <v>155</v>
      </c>
      <c r="B6" s="34" t="n">
        <f aca="false">Premissas!B28</f>
        <v>10000</v>
      </c>
    </row>
    <row r="7" customFormat="false" ht="15" hidden="false" customHeight="false" outlineLevel="0" collapsed="false">
      <c r="A7" s="30" t="s">
        <v>156</v>
      </c>
      <c r="B7" s="35" t="n">
        <f aca="false">B5+B6</f>
        <v>10747.5</v>
      </c>
    </row>
    <row r="8" customFormat="false" ht="15" hidden="false" customHeight="false" outlineLevel="0" collapsed="false">
      <c r="A8" s="20" t="s">
        <v>157</v>
      </c>
      <c r="B8" s="34" t="n">
        <f aca="false">Premissas!B27</f>
        <v>400</v>
      </c>
    </row>
    <row r="9" customFormat="false" ht="15" hidden="false" customHeight="false" outlineLevel="0" collapsed="false">
      <c r="A9" s="20" t="s">
        <v>158</v>
      </c>
      <c r="B9" s="21" t="n">
        <f aca="false">Premissas!B29</f>
        <v>12</v>
      </c>
    </row>
    <row r="10" customFormat="false" ht="15" hidden="false" customHeight="false" outlineLevel="0" collapsed="false">
      <c r="A10" s="20" t="s">
        <v>159</v>
      </c>
      <c r="B10" s="29" t="n">
        <f aca="false">Premissas!B9</f>
        <v>0</v>
      </c>
    </row>
    <row r="12" customFormat="false" ht="15" hidden="false" customHeight="false" outlineLevel="0" collapsed="false">
      <c r="D12" s="37" t="s">
        <v>160</v>
      </c>
      <c r="E12" s="38" t="n">
        <f aca="false">Premissas!B34</f>
        <v>50</v>
      </c>
      <c r="F12" s="38" t="n">
        <f aca="false">Premissas!C34</f>
        <v>100</v>
      </c>
      <c r="G12" s="38" t="n">
        <f aca="false">Premissas!D34</f>
        <v>200</v>
      </c>
      <c r="H12" s="38" t="n">
        <f aca="false">Premissas!B34</f>
        <v>50</v>
      </c>
      <c r="I12" s="38" t="n">
        <f aca="false">Premissas!C34</f>
        <v>100</v>
      </c>
      <c r="J12" s="38" t="n">
        <f aca="false">Premissas!D34</f>
        <v>200</v>
      </c>
    </row>
    <row r="13" customFormat="false" ht="42" hidden="false" customHeight="true" outlineLevel="0" collapsed="false">
      <c r="A13" s="19" t="s">
        <v>121</v>
      </c>
      <c r="B13" s="19" t="s">
        <v>122</v>
      </c>
      <c r="C13" s="19" t="s">
        <v>161</v>
      </c>
      <c r="D13" s="19" t="s">
        <v>162</v>
      </c>
      <c r="E13" s="19" t="s">
        <v>163</v>
      </c>
      <c r="F13" s="19" t="s">
        <v>164</v>
      </c>
      <c r="G13" s="19" t="s">
        <v>165</v>
      </c>
      <c r="H13" s="19" t="s">
        <v>166</v>
      </c>
      <c r="I13" s="19" t="s">
        <v>167</v>
      </c>
      <c r="J13" s="19" t="s">
        <v>168</v>
      </c>
    </row>
    <row r="14" customFormat="false" ht="15" hidden="false" customHeight="false" outlineLevel="0" collapsed="false">
      <c r="A14" s="20" t="s">
        <v>135</v>
      </c>
      <c r="B14" s="29" t="n">
        <f aca="false">Premissas!B5</f>
        <v>29.9</v>
      </c>
      <c r="C14" s="26" t="n">
        <f aca="false">B14+$B$10-$B$4</f>
        <v>21.1</v>
      </c>
      <c r="D14" s="33" t="n">
        <f aca="false">IF(C14&gt;0,$B$8/C14,"n/a")</f>
        <v>18.957345971564</v>
      </c>
      <c r="E14" s="28" t="n">
        <f aca="false">E$12*$C14-$B$8</f>
        <v>655</v>
      </c>
      <c r="F14" s="28" t="n">
        <f aca="false">F$12*$C14-$B$8</f>
        <v>1710</v>
      </c>
      <c r="G14" s="28" t="n">
        <f aca="false">G$12*$C14-$B$8</f>
        <v>3820</v>
      </c>
      <c r="H14" s="39" t="n">
        <f aca="false">IF($B$7&gt;0,(E14*$B$9-$B$7)/$B$7,"n/a")</f>
        <v>-0.268667131891138</v>
      </c>
      <c r="I14" s="40" t="n">
        <f aca="false">IF($B$7&gt;0,(F14*$B$9-$B$7)/$B$7,"n/a")</f>
        <v>0.909281228192603</v>
      </c>
      <c r="J14" s="39" t="n">
        <f aca="false">IF($B$7&gt;0,(G14*$B$9-$B$7)/$B$7,"n/a")</f>
        <v>3.26517794836008</v>
      </c>
    </row>
    <row r="15" customFormat="false" ht="15" hidden="false" customHeight="false" outlineLevel="0" collapsed="false">
      <c r="A15" s="20" t="s">
        <v>136</v>
      </c>
      <c r="B15" s="29" t="n">
        <f aca="false">Premissas!B6</f>
        <v>39.9</v>
      </c>
      <c r="C15" s="26" t="n">
        <f aca="false">B15+$B$10-$B$4</f>
        <v>31.1</v>
      </c>
      <c r="D15" s="33" t="n">
        <f aca="false">IF(C15&gt;0,$B$8/C15,"n/a")</f>
        <v>12.8617363344051</v>
      </c>
      <c r="E15" s="28" t="n">
        <f aca="false">E$12*$C15-$B$8</f>
        <v>1155</v>
      </c>
      <c r="F15" s="28" t="n">
        <f aca="false">F$12*$C15-$B$8</f>
        <v>2710</v>
      </c>
      <c r="G15" s="28" t="n">
        <f aca="false">G$12*$C15-$B$8</f>
        <v>5820</v>
      </c>
      <c r="H15" s="39" t="n">
        <f aca="false">IF($B$7&gt;0,(E15*$B$9-$B$7)/$B$7,"n/a")</f>
        <v>0.28960223307746</v>
      </c>
      <c r="I15" s="40" t="n">
        <f aca="false">IF($B$7&gt;0,(F15*$B$9-$B$7)/$B$7,"n/a")</f>
        <v>2.0258199581298</v>
      </c>
      <c r="J15" s="39" t="n">
        <f aca="false">IF($B$7&gt;0,(G15*$B$9-$B$7)/$B$7,"n/a")</f>
        <v>5.49825540823447</v>
      </c>
    </row>
    <row r="16" customFormat="false" ht="15" hidden="false" customHeight="false" outlineLevel="0" collapsed="false">
      <c r="A16" s="20" t="s">
        <v>137</v>
      </c>
      <c r="B16" s="29" t="n">
        <f aca="false">Premissas!B7</f>
        <v>49.9</v>
      </c>
      <c r="C16" s="26" t="n">
        <f aca="false">B16+$B$10-$B$4</f>
        <v>41.1</v>
      </c>
      <c r="D16" s="33" t="n">
        <f aca="false">IF(C16&gt;0,$B$8/C16,"n/a")</f>
        <v>9.7323600973236</v>
      </c>
      <c r="E16" s="28" t="n">
        <f aca="false">E$12*$C16-$B$8</f>
        <v>1655</v>
      </c>
      <c r="F16" s="28" t="n">
        <f aca="false">F$12*$C16-$B$8</f>
        <v>3710</v>
      </c>
      <c r="G16" s="28" t="n">
        <f aca="false">G$12*$C16-$B$8</f>
        <v>7820</v>
      </c>
      <c r="H16" s="39" t="n">
        <f aca="false">IF($B$7&gt;0,(E16*$B$9-$B$7)/$B$7,"n/a")</f>
        <v>0.847871598046057</v>
      </c>
      <c r="I16" s="40" t="n">
        <f aca="false">IF($B$7&gt;0,(F16*$B$9-$B$7)/$B$7,"n/a")</f>
        <v>3.14235868806699</v>
      </c>
      <c r="J16" s="39" t="n">
        <f aca="false">IF($B$7&gt;0,(G16*$B$9-$B$7)/$B$7,"n/a")</f>
        <v>7.73133286810886</v>
      </c>
    </row>
    <row r="17" customFormat="false" ht="15" hidden="false" customHeight="false" outlineLevel="0" collapsed="false">
      <c r="A17" s="20" t="s">
        <v>138</v>
      </c>
      <c r="B17" s="29" t="n">
        <f aca="false">Premissas!B8</f>
        <v>24.9</v>
      </c>
      <c r="C17" s="26" t="n">
        <f aca="false">B17+$B$10-$B$4</f>
        <v>16.1</v>
      </c>
      <c r="D17" s="33" t="n">
        <f aca="false">IF(C17&gt;0,$B$8/C17,"n/a")</f>
        <v>24.8447204968944</v>
      </c>
      <c r="E17" s="28" t="n">
        <f aca="false">E$12*$C17-$B$8</f>
        <v>405</v>
      </c>
      <c r="F17" s="28" t="n">
        <f aca="false">F$12*$C17-$B$8</f>
        <v>1210</v>
      </c>
      <c r="G17" s="28" t="n">
        <f aca="false">G$12*$C17-$B$8</f>
        <v>2820</v>
      </c>
      <c r="H17" s="39" t="n">
        <f aca="false">IF($B$7&gt;0,(E17*$B$9-$B$7)/$B$7,"n/a")</f>
        <v>-0.547801814375436</v>
      </c>
      <c r="I17" s="40" t="n">
        <f aca="false">IF($B$7&gt;0,(F17*$B$9-$B$7)/$B$7,"n/a")</f>
        <v>0.351011863224005</v>
      </c>
      <c r="J17" s="39" t="n">
        <f aca="false">IF($B$7&gt;0,(G17*$B$9-$B$7)/$B$7,"n/a")</f>
        <v>2.14863921842289</v>
      </c>
    </row>
    <row r="19" customFormat="false" ht="15" hidden="false" customHeight="false" outlineLevel="0" collapsed="false">
      <c r="A19" s="25" t="s">
        <v>169</v>
      </c>
    </row>
    <row r="20" customFormat="false" ht="15" hidden="false" customHeight="false" outlineLevel="0" collapsed="false">
      <c r="A20" s="4" t="s">
        <v>170</v>
      </c>
    </row>
    <row r="21" customFormat="false" ht="15" hidden="false" customHeight="false" outlineLevel="0" collapsed="false">
      <c r="A21" s="4" t="s">
        <v>171</v>
      </c>
    </row>
    <row r="22" customFormat="false" ht="15" hidden="false" customHeight="false" outlineLevel="0" collapsed="false">
      <c r="A22" s="4" t="s">
        <v>172</v>
      </c>
    </row>
    <row r="23" customFormat="false" ht="15" hidden="false" customHeight="false" outlineLevel="0" collapsed="false">
      <c r="A23" s="4" t="s">
        <v>173</v>
      </c>
    </row>
  </sheetData>
  <conditionalFormatting sqref="E14:J17">
    <cfRule type="cellIs" priority="2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2026-10-01T00:22:57Z</dcterms:created>
  <dc:creator>openpyxl</dc:creator>
  <dc:description/>
  <dc:language>en-US</dc:language>
  <cp:lastModifiedBy/>
  <dcterms:modified xsi:type="dcterms:W3CDTF">2026-10-01T00:22:57Z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